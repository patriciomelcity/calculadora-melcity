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Claude code\Calculadora costosMelcity\"/>
    </mc:Choice>
  </mc:AlternateContent>
  <xr:revisionPtr revIDLastSave="0" documentId="13_ncr:1_{6C2AF04C-F0DC-4717-8EF5-8A2714C2F0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s Producto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M22" i="1"/>
</calcChain>
</file>

<file path=xl/sharedStrings.xml><?xml version="1.0" encoding="utf-8"?>
<sst xmlns="http://schemas.openxmlformats.org/spreadsheetml/2006/main" count="380" uniqueCount="135">
  <si>
    <t>PAPELERÍA — Papel Higiénico / Toallas en Rollo</t>
  </si>
  <si>
    <t>PAPELERÍA — Toallas Intercaladas</t>
  </si>
  <si>
    <t>PAPELERÍA — Bobinas Multiuso</t>
  </si>
  <si>
    <t>PAPELERÍA — Servilletas / Paños</t>
  </si>
  <si>
    <t>QUÍMICOS</t>
  </si>
  <si>
    <t>ACCESORIOS — Textiles</t>
  </si>
  <si>
    <t>ACCESORIOS — Guantes</t>
  </si>
  <si>
    <t>Tipo de Producto</t>
  </si>
  <si>
    <t>Nombre / Marca</t>
  </si>
  <si>
    <t>Precio</t>
  </si>
  <si>
    <t>Foto (URL)</t>
  </si>
  <si>
    <t>Rollos por paquete</t>
  </si>
  <si>
    <t>Metros por rollo</t>
  </si>
  <si>
    <t>Capas / Hojas</t>
  </si>
  <si>
    <t>CMs por secado</t>
  </si>
  <si>
    <t>Total hojas (caja)</t>
  </si>
  <si>
    <t>Hojas por secado</t>
  </si>
  <si>
    <t>Bobinas por paquete</t>
  </si>
  <si>
    <t>Metros por bobina</t>
  </si>
  <si>
    <t>Unidades por paquete</t>
  </si>
  <si>
    <t>Tamaño (cm)</t>
  </si>
  <si>
    <t>Usos por paño</t>
  </si>
  <si>
    <t>Contenido (litros)</t>
  </si>
  <si>
    <t>Dilución (partes agua)</t>
  </si>
  <si>
    <t>Rendimiento (m² / litro)</t>
  </si>
  <si>
    <t>Dosis (ml)</t>
  </si>
  <si>
    <t>Vida útil (lavados)</t>
  </si>
  <si>
    <t>Usos por día</t>
  </si>
  <si>
    <t>Durabilidad (días)</t>
  </si>
  <si>
    <t>Papel Higiénico</t>
  </si>
  <si>
    <t>---</t>
  </si>
  <si>
    <t>Toallas en Rollo</t>
  </si>
  <si>
    <t>Toallas Intercaladas</t>
  </si>
  <si>
    <t>Bobinas Multiuso</t>
  </si>
  <si>
    <t>Servilletas</t>
  </si>
  <si>
    <t>Paños Multiuso</t>
  </si>
  <si>
    <t>Desengrasante</t>
  </si>
  <si>
    <t>Ultra Clean 5L</t>
  </si>
  <si>
    <t>Desinfectante</t>
  </si>
  <si>
    <t>Bio Quat 1L</t>
  </si>
  <si>
    <t>Detergente</t>
  </si>
  <si>
    <t>LavaMax 5L</t>
  </si>
  <si>
    <t>Jabón de Manos</t>
  </si>
  <si>
    <t>FoamSoft 5L</t>
  </si>
  <si>
    <t>Mopa / Trapeador</t>
  </si>
  <si>
    <t>Mopa Microfibra 300g</t>
  </si>
  <si>
    <t>Paños / Trapos</t>
  </si>
  <si>
    <t>Paño Pro Microfibra</t>
  </si>
  <si>
    <t>Guantes</t>
  </si>
  <si>
    <t>Guante Nitril Azul M</t>
  </si>
  <si>
    <t>Bolsas de Residuos</t>
  </si>
  <si>
    <t>Bolsa Negra 90L</t>
  </si>
  <si>
    <t>INSTRUCCIONES: Completa los datos de TUS productos en las columnas azules. Las celdas con --- no aplican a ese tipo. Foto (URL): pega la URL de la imagen del producto (https://...) o el nombre del archivo si esta en la misma carpeta que el HTML. Guarda el archivo y cargalo en la app con el boton Cargar mis productos (Excel).</t>
  </si>
  <si>
    <t>Guia de uso — Template de Productos Melcity</t>
  </si>
  <si>
    <t>Que es este archivo?</t>
  </si>
  <si>
    <t>Es el catalogo de TUS productos. Completas los datos una sola vez y la calculadora los carga automaticamente cuando visitas un cliente.</t>
  </si>
  <si>
    <t>PASO 1 — Completar los datos</t>
  </si>
  <si>
    <t>Ve a la hoja 'Mis Productos'. Para cada fila, completa: Nombre / Marca, Precio, los campos en AZUL que aplican al tipo de producto, y opcionalmente la URL de la foto. Las celdas con '---' no se usan para ese producto.</t>
  </si>
  <si>
    <t>PASO 2 — Agregar fotos (opcional)</t>
  </si>
  <si>
    <t>En la columna 'Foto (URL)' pega la URL completa de la imagen del producto (ej: https://tutienda.com/imagen.jpg), o el nombre del archivo si la imagen esta en la misma carpeta que el HTML (ej: ph_ultra.jpg). La foto aparece en la calculadora al cargar el Excel.</t>
  </si>
  <si>
    <t>PASO 3 — Guardar el archivo</t>
  </si>
  <si>
    <t>Guarda el Excel normalmente (Ctrl+S). Siempre como .xlsx.</t>
  </si>
  <si>
    <t>PASO 4 — Cargar en la app</t>
  </si>
  <si>
    <t>Abre la calculadora (.html) en el navegador. Haz clic en el icono de engranaje (arriba a la derecha) y luego en 'Cargar mis productos (Excel)'. Los campos 'Nuestro Producto' se completan solos en todas las categorias.</t>
  </si>
  <si>
    <t>PASO 5 — Completar el cliente</t>
  </si>
  <si>
    <t>Ingresa el nombre del cliente, tu nombre y la fecha. Luego completa los datos del producto actual del cliente en el lado izquierdo.</t>
  </si>
  <si>
    <t>PASO 6 — Ver resultados</t>
  </si>
  <si>
    <t>Los resultados se calculan en tiempo real. Ve a la pestana 'Resumen' para la comparacion completa y usa 'Imprimir / Guardar PDF' para compartirlo con el cliente.</t>
  </si>
  <si>
    <t>CAMPOS POR TIPO DE PRODUCTO</t>
  </si>
  <si>
    <t>Papel Higienico</t>
  </si>
  <si>
    <t>Precio · Rollos por paquete · Metros por rollo · Capas/Hojas (1, 2 o 3)</t>
  </si>
  <si>
    <t>Precio · Rollos por paquete · Metros por rollo · CMs por secado (cm de papel por secado de manos)</t>
  </si>
  <si>
    <t>Precio · Total hojas (caja) · Hojas por secado de manos</t>
  </si>
  <si>
    <t>Precio · Bobinas por paquete · Metros por bobina</t>
  </si>
  <si>
    <t>Precio · Unidades por paquete · Tamano en cm (opcional)</t>
  </si>
  <si>
    <t>Panos Multiuso</t>
  </si>
  <si>
    <t>Precio · Unidades por paquete · Usos por pano</t>
  </si>
  <si>
    <t>Precio · Contenido en litros · Dilucion (partes agua por 1 de producto) · Rendimiento m2 (opcional)</t>
  </si>
  <si>
    <t>Precio · Contenido en litros · Dilucion · Rendimiento m2 (opcional)</t>
  </si>
  <si>
    <t>Precio · Contenido en litros · Dosis en ml por lavado</t>
  </si>
  <si>
    <t>Jabon de Manos</t>
  </si>
  <si>
    <t>Precio · Contenido en litros · Dosis en ml por aplicacion</t>
  </si>
  <si>
    <t>Precio · Vida util en cantidad de lavados · Usos por dia</t>
  </si>
  <si>
    <t>Panos / Trapos</t>
  </si>
  <si>
    <t>Precio · Durabilidad en dias de uso</t>
  </si>
  <si>
    <t>Precio · Unidades por paquete · Usos (bolsas) por dia</t>
  </si>
  <si>
    <t>NOTA — Dilucion</t>
  </si>
  <si>
    <t>Dilucion = partes de AGUA por cada parte de producto.
Ej: dilucion 1:10 -&gt; pone 9 (9 partes agua + 1 producto = 10 litros totales).
Ej: dilucion 1:20 -&gt; pone 19.
Si el producto ya esta listo para usar, pone 0.</t>
  </si>
  <si>
    <t>Bobina doble hoja 1000 usos Excellence 200M x 2 Elite Excellence C.6213</t>
  </si>
  <si>
    <t>6213.PNG</t>
  </si>
  <si>
    <t>Bobina doble hoja Industrial 400 mts x 2 x 24cm Elite Plus C.6264</t>
  </si>
  <si>
    <t>6264.PNG</t>
  </si>
  <si>
    <t>Toallas intercaladas 3 paneles blancas 200 x 10 Elite Classic C.6300</t>
  </si>
  <si>
    <t>6300.PNG</t>
  </si>
  <si>
    <t>Toallas intercaladas blancas 250 x 10 Elite Plus C.6283</t>
  </si>
  <si>
    <t>6283.PNG</t>
  </si>
  <si>
    <t>Toallas intercaladas 2 paneles blancas 250 x 10 Elite Plus C.6295</t>
  </si>
  <si>
    <t>6295.PNG</t>
  </si>
  <si>
    <t>Toalla intercalada Elite Excellence 4h 150 C. 6149</t>
  </si>
  <si>
    <t>6149.PNG</t>
  </si>
  <si>
    <t>Toallas en rollo simple hoja 200M x 2 Elite Classic C.6299</t>
  </si>
  <si>
    <t>6299.PNG</t>
  </si>
  <si>
    <t>Toallas en rollo simple hoja 300M x 2 Elite Classic C.6203</t>
  </si>
  <si>
    <t>6203.PNG</t>
  </si>
  <si>
    <t>Toallas en rollo simple hoja 300M x 2 Elite Plus C.6309</t>
  </si>
  <si>
    <t>6309.PNG</t>
  </si>
  <si>
    <t>Toalla Elite Non Touch DH 200mts X2 C. 6298</t>
  </si>
  <si>
    <t>6298.PNG</t>
  </si>
  <si>
    <t>Higienico SH jumbo cono chico 4x300M Elite Classic C.6130</t>
  </si>
  <si>
    <t>6130.PNG</t>
  </si>
  <si>
    <t>Higienico SH jumbo cono grande 4x300M Elite Plus C.6112</t>
  </si>
  <si>
    <t>6112.PNG</t>
  </si>
  <si>
    <t>Higienico SH jumbo cono grande 500M x 4 Elite Classic C.6109</t>
  </si>
  <si>
    <t>6109.PNG</t>
  </si>
  <si>
    <t>Higienico SH jumbo cono grande 4x500M Elite Plus C.6128</t>
  </si>
  <si>
    <t>6128.PNG</t>
  </si>
  <si>
    <t>Bolson Higienico SH 30mts x 4 rollos x 12 packs Elite Plus C.6602</t>
  </si>
  <si>
    <t>6602.PNG</t>
  </si>
  <si>
    <t>Bolson Higienico doble hoja 30m/4u/10packs Elite Excellence C.6616</t>
  </si>
  <si>
    <t>6616.PNG</t>
  </si>
  <si>
    <t>Bolson Higienico SH 50mts x 4 rollos x 12 packs Elite Plus C.6607</t>
  </si>
  <si>
    <t>6607.PNG</t>
  </si>
  <si>
    <t>Bolson Higienico SH 100mts x 4 rollos x 10 packs Elite Plus C.6122</t>
  </si>
  <si>
    <t>6122.PNG</t>
  </si>
  <si>
    <t>Servilletas SH blancas 1000u 30x30cm Elite Plus C.6567</t>
  </si>
  <si>
    <t>6567.PNG</t>
  </si>
  <si>
    <t>Servilletas SH 16.5x20cm fast food x350u/24packs Elite Classic C.6540</t>
  </si>
  <si>
    <t>6540.PNG</t>
  </si>
  <si>
    <t>Servilletas SH 10x21cm intercaladas x250u/72packs Elite Classic C.6523</t>
  </si>
  <si>
    <t>6523.PNG</t>
  </si>
  <si>
    <t>30x30</t>
  </si>
  <si>
    <t>16x20</t>
  </si>
  <si>
    <t>10x21</t>
  </si>
  <si>
    <t>Paños de limpieza Maxwipe Max 50 690p C.6389</t>
  </si>
  <si>
    <t>6389.PNG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</si>
</sst>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sz val="10"/>
      <color rgb="FF854D0E"/>
      <name val="Arial"/>
    </font>
    <font>
      <sz val="10"/>
      <color rgb="FF000000"/>
      <name val="Arial"/>
    </font>
    <font>
      <i/>
      <sz val="10"/>
      <color rgb="FF94A3B8"/>
      <name val="Arial"/>
    </font>
    <font>
      <sz val="10"/>
      <color rgb="FF166534"/>
      <name val="Arial"/>
    </font>
    <font>
      <sz val="10"/>
      <color rgb="FF9D174D"/>
      <name val="Arial"/>
    </font>
    <font>
      <i/>
      <sz val="9"/>
      <color rgb="FF475569"/>
      <name val="Arial"/>
    </font>
    <font>
      <b/>
      <sz val="13"/>
      <color rgb="FFFFFFFF"/>
      <name val="Arial"/>
    </font>
    <font>
      <sz val="10"/>
      <color rgb="FF1E293B"/>
      <name val="Arial"/>
    </font>
    <font>
      <sz val="10"/>
      <color rgb="FF374151"/>
      <name val="Arial"/>
    </font>
    <font>
      <b/>
      <sz val="10"/>
      <color rgb="FF1E40AF"/>
      <name val="Arial"/>
    </font>
    <font>
      <b/>
      <sz val="10"/>
      <color rgb="FF1E293B"/>
      <name val="Arial"/>
    </font>
  </fonts>
  <fills count="13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CE7F3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" fontId="4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3" fontId="4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7" borderId="0" xfId="0" applyFont="1" applyFill="1" applyAlignment="1">
      <alignment horizontal="left" vertical="center" wrapText="1"/>
    </xf>
    <xf numFmtId="0" fontId="12" fillId="1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pane xSplit="2" ySplit="2" topLeftCell="J23" activePane="bottomRight" state="frozen"/>
      <selection pane="topRight"/>
      <selection pane="bottomLeft"/>
      <selection pane="bottomRight" activeCell="A25" sqref="A25:XFD30"/>
    </sheetView>
  </sheetViews>
  <sheetFormatPr baseColWidth="10" defaultColWidth="8.7265625" defaultRowHeight="14.5" x14ac:dyDescent="0.35"/>
  <cols>
    <col min="1" max="1" width="22" customWidth="1"/>
    <col min="2" max="2" width="52" customWidth="1"/>
    <col min="3" max="3" width="12" customWidth="1"/>
    <col min="4" max="4" width="28" customWidth="1"/>
    <col min="5" max="5" width="16" customWidth="1"/>
    <col min="6" max="6" width="15" customWidth="1"/>
    <col min="7" max="7" width="12" customWidth="1"/>
    <col min="8" max="8" width="14" customWidth="1"/>
    <col min="9" max="9" width="16" customWidth="1"/>
    <col min="10" max="12" width="15" customWidth="1"/>
    <col min="13" max="13" width="18" customWidth="1"/>
    <col min="14" max="15" width="12" customWidth="1"/>
    <col min="16" max="16" width="16" customWidth="1"/>
    <col min="17" max="17" width="18" customWidth="1"/>
    <col min="18" max="18" width="20" customWidth="1"/>
    <col min="19" max="19" width="12" customWidth="1"/>
    <col min="20" max="20" width="17" customWidth="1"/>
    <col min="21" max="21" width="13" customWidth="1"/>
    <col min="22" max="22" width="16" customWidth="1"/>
  </cols>
  <sheetData>
    <row r="1" spans="1:22" ht="18" customHeight="1" x14ac:dyDescent="0.35">
      <c r="A1" s="1"/>
      <c r="B1" s="1"/>
      <c r="C1" s="1"/>
      <c r="D1" s="1"/>
      <c r="E1" s="18" t="s">
        <v>0</v>
      </c>
      <c r="F1" s="17"/>
      <c r="G1" s="17"/>
      <c r="H1" s="17"/>
      <c r="I1" s="18" t="s">
        <v>1</v>
      </c>
      <c r="J1" s="17"/>
      <c r="K1" s="18" t="s">
        <v>2</v>
      </c>
      <c r="L1" s="17"/>
      <c r="M1" s="18" t="s">
        <v>3</v>
      </c>
      <c r="N1" s="17"/>
      <c r="O1" s="17"/>
      <c r="P1" s="19" t="s">
        <v>4</v>
      </c>
      <c r="Q1" s="17"/>
      <c r="R1" s="17"/>
      <c r="S1" s="17"/>
      <c r="T1" s="20" t="s">
        <v>5</v>
      </c>
      <c r="U1" s="17"/>
      <c r="V1" s="20" t="s">
        <v>6</v>
      </c>
    </row>
    <row r="2" spans="1:22" ht="38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</row>
    <row r="3" spans="1:22" ht="20" customHeight="1" x14ac:dyDescent="0.35">
      <c r="A3" s="3" t="s">
        <v>29</v>
      </c>
      <c r="B3" s="4" t="s">
        <v>108</v>
      </c>
      <c r="C3" s="5">
        <v>12820</v>
      </c>
      <c r="D3" s="6" t="s">
        <v>109</v>
      </c>
      <c r="E3" s="7">
        <v>4</v>
      </c>
      <c r="F3" s="7">
        <v>300</v>
      </c>
      <c r="G3" s="7">
        <v>1</v>
      </c>
      <c r="H3" s="8" t="s">
        <v>30</v>
      </c>
      <c r="I3" s="8" t="s">
        <v>30</v>
      </c>
      <c r="J3" s="8" t="s">
        <v>30</v>
      </c>
      <c r="K3" s="8" t="s">
        <v>30</v>
      </c>
      <c r="L3" s="8" t="s">
        <v>30</v>
      </c>
      <c r="M3" s="8" t="s">
        <v>30</v>
      </c>
      <c r="N3" s="8" t="s">
        <v>30</v>
      </c>
      <c r="O3" s="8" t="s">
        <v>30</v>
      </c>
      <c r="P3" s="8" t="s">
        <v>30</v>
      </c>
      <c r="Q3" s="8" t="s">
        <v>30</v>
      </c>
      <c r="R3" s="8" t="s">
        <v>30</v>
      </c>
      <c r="S3" s="8" t="s">
        <v>30</v>
      </c>
      <c r="T3" s="8" t="s">
        <v>30</v>
      </c>
      <c r="U3" s="8" t="s">
        <v>30</v>
      </c>
      <c r="V3" s="8" t="s">
        <v>30</v>
      </c>
    </row>
    <row r="4" spans="1:22" ht="20" customHeight="1" x14ac:dyDescent="0.35">
      <c r="A4" s="3" t="s">
        <v>29</v>
      </c>
      <c r="B4" s="4" t="s">
        <v>110</v>
      </c>
      <c r="C4" s="5">
        <v>14950</v>
      </c>
      <c r="D4" s="6" t="s">
        <v>111</v>
      </c>
      <c r="E4" s="7">
        <v>4</v>
      </c>
      <c r="F4" s="7">
        <v>300</v>
      </c>
      <c r="G4" s="7">
        <v>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20" customHeight="1" x14ac:dyDescent="0.35">
      <c r="A5" s="3" t="s">
        <v>29</v>
      </c>
      <c r="B5" s="4" t="s">
        <v>112</v>
      </c>
      <c r="C5" s="5">
        <v>19510</v>
      </c>
      <c r="D5" s="6" t="s">
        <v>113</v>
      </c>
      <c r="E5" s="7">
        <v>4</v>
      </c>
      <c r="F5" s="7">
        <v>500</v>
      </c>
      <c r="G5" s="7">
        <v>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" customHeight="1" x14ac:dyDescent="0.35">
      <c r="A6" s="3" t="s">
        <v>29</v>
      </c>
      <c r="B6" s="4" t="s">
        <v>114</v>
      </c>
      <c r="C6" s="5">
        <v>24400</v>
      </c>
      <c r="D6" s="6" t="s">
        <v>115</v>
      </c>
      <c r="E6" s="7">
        <v>4</v>
      </c>
      <c r="F6" s="7">
        <v>500</v>
      </c>
      <c r="G6" s="7">
        <v>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20" customHeight="1" x14ac:dyDescent="0.35">
      <c r="A7" s="3" t="s">
        <v>29</v>
      </c>
      <c r="B7" s="4" t="s">
        <v>116</v>
      </c>
      <c r="C7" s="5">
        <v>18530</v>
      </c>
      <c r="D7" s="6" t="s">
        <v>117</v>
      </c>
      <c r="E7" s="7">
        <v>48</v>
      </c>
      <c r="F7" s="7">
        <v>30</v>
      </c>
      <c r="G7" s="7">
        <v>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20" customHeight="1" x14ac:dyDescent="0.35">
      <c r="A8" s="3" t="s">
        <v>29</v>
      </c>
      <c r="B8" s="4" t="s">
        <v>118</v>
      </c>
      <c r="C8" s="5">
        <v>24320</v>
      </c>
      <c r="D8" s="6" t="s">
        <v>119</v>
      </c>
      <c r="E8" s="7">
        <v>40</v>
      </c>
      <c r="F8" s="7">
        <v>30</v>
      </c>
      <c r="G8" s="7">
        <v>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20" customHeight="1" x14ac:dyDescent="0.35">
      <c r="A9" s="3" t="s">
        <v>29</v>
      </c>
      <c r="B9" s="4" t="s">
        <v>120</v>
      </c>
      <c r="C9" s="5">
        <v>26330</v>
      </c>
      <c r="D9" s="6" t="s">
        <v>121</v>
      </c>
      <c r="E9" s="7">
        <v>48</v>
      </c>
      <c r="F9" s="7">
        <v>40</v>
      </c>
      <c r="G9" s="7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20" customHeight="1" x14ac:dyDescent="0.35">
      <c r="A10" s="3" t="s">
        <v>29</v>
      </c>
      <c r="B10" s="4" t="s">
        <v>122</v>
      </c>
      <c r="C10" s="5">
        <v>44660</v>
      </c>
      <c r="D10" s="6" t="s">
        <v>123</v>
      </c>
      <c r="E10" s="7">
        <v>40</v>
      </c>
      <c r="F10" s="7">
        <v>100</v>
      </c>
      <c r="G10" s="7">
        <v>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ht="20" customHeight="1" x14ac:dyDescent="0.35">
      <c r="A11" s="3" t="s">
        <v>31</v>
      </c>
      <c r="B11" s="4" t="s">
        <v>100</v>
      </c>
      <c r="C11" s="5">
        <v>13790</v>
      </c>
      <c r="D11" s="6" t="s">
        <v>101</v>
      </c>
      <c r="E11" s="7">
        <v>2</v>
      </c>
      <c r="F11" s="7">
        <v>200</v>
      </c>
      <c r="G11" s="8">
        <v>1</v>
      </c>
      <c r="H11" s="7">
        <v>40</v>
      </c>
      <c r="I11" s="8" t="s">
        <v>30</v>
      </c>
      <c r="J11" s="8" t="s">
        <v>30</v>
      </c>
      <c r="K11" s="8" t="s">
        <v>30</v>
      </c>
      <c r="L11" s="8" t="s">
        <v>30</v>
      </c>
      <c r="M11" s="8" t="s">
        <v>30</v>
      </c>
      <c r="N11" s="8" t="s">
        <v>30</v>
      </c>
      <c r="O11" s="8" t="s">
        <v>30</v>
      </c>
      <c r="P11" s="8" t="s">
        <v>30</v>
      </c>
      <c r="Q11" s="8" t="s">
        <v>30</v>
      </c>
      <c r="R11" s="8" t="s">
        <v>30</v>
      </c>
      <c r="S11" s="8" t="s">
        <v>30</v>
      </c>
      <c r="T11" s="8" t="s">
        <v>30</v>
      </c>
      <c r="U11" s="8" t="s">
        <v>30</v>
      </c>
      <c r="V11" s="8" t="s">
        <v>30</v>
      </c>
    </row>
    <row r="12" spans="1:22" ht="20" customHeight="1" x14ac:dyDescent="0.35">
      <c r="A12" s="3" t="s">
        <v>31</v>
      </c>
      <c r="B12" s="4" t="s">
        <v>102</v>
      </c>
      <c r="C12" s="5">
        <v>20290</v>
      </c>
      <c r="D12" s="6" t="s">
        <v>103</v>
      </c>
      <c r="E12" s="7">
        <v>2</v>
      </c>
      <c r="F12" s="7">
        <v>300</v>
      </c>
      <c r="G12" s="8">
        <v>1</v>
      </c>
      <c r="H12" s="7">
        <v>40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ht="20" customHeight="1" x14ac:dyDescent="0.35">
      <c r="A13" s="3" t="s">
        <v>31</v>
      </c>
      <c r="B13" s="4" t="s">
        <v>104</v>
      </c>
      <c r="C13" s="5">
        <v>23580</v>
      </c>
      <c r="D13" s="6" t="s">
        <v>105</v>
      </c>
      <c r="E13" s="7">
        <v>2</v>
      </c>
      <c r="F13" s="7">
        <v>300</v>
      </c>
      <c r="G13" s="8">
        <v>1</v>
      </c>
      <c r="H13" s="7">
        <v>40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20" customHeight="1" x14ac:dyDescent="0.35">
      <c r="A14" s="3" t="s">
        <v>31</v>
      </c>
      <c r="B14" s="4" t="s">
        <v>106</v>
      </c>
      <c r="C14" s="5">
        <v>24980</v>
      </c>
      <c r="D14" s="6" t="s">
        <v>107</v>
      </c>
      <c r="E14" s="7">
        <v>2</v>
      </c>
      <c r="F14" s="7">
        <v>200</v>
      </c>
      <c r="G14" s="8">
        <v>2</v>
      </c>
      <c r="H14" s="7">
        <v>40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20" customHeight="1" x14ac:dyDescent="0.35">
      <c r="A15" s="3" t="s">
        <v>32</v>
      </c>
      <c r="B15" s="4" t="s">
        <v>92</v>
      </c>
      <c r="C15" s="5">
        <v>16370</v>
      </c>
      <c r="D15" s="6" t="s">
        <v>93</v>
      </c>
      <c r="E15" s="8" t="s">
        <v>30</v>
      </c>
      <c r="F15" s="8" t="s">
        <v>30</v>
      </c>
      <c r="G15" s="8" t="s">
        <v>30</v>
      </c>
      <c r="H15" s="8" t="s">
        <v>30</v>
      </c>
      <c r="I15" s="7">
        <v>2000</v>
      </c>
      <c r="J15" s="7">
        <v>2</v>
      </c>
      <c r="K15" s="8" t="s">
        <v>30</v>
      </c>
      <c r="L15" s="8" t="s">
        <v>30</v>
      </c>
      <c r="M15" s="8" t="s">
        <v>30</v>
      </c>
      <c r="N15" s="8" t="s">
        <v>30</v>
      </c>
      <c r="O15" s="8" t="s">
        <v>30</v>
      </c>
      <c r="P15" s="8" t="s">
        <v>30</v>
      </c>
      <c r="Q15" s="8" t="s">
        <v>30</v>
      </c>
      <c r="R15" s="8" t="s">
        <v>30</v>
      </c>
      <c r="S15" s="8" t="s">
        <v>30</v>
      </c>
      <c r="T15" s="8" t="s">
        <v>30</v>
      </c>
      <c r="U15" s="8" t="s">
        <v>30</v>
      </c>
      <c r="V15" s="8" t="s">
        <v>30</v>
      </c>
    </row>
    <row r="16" spans="1:22" ht="20" customHeight="1" x14ac:dyDescent="0.35">
      <c r="A16" s="3" t="s">
        <v>32</v>
      </c>
      <c r="B16" s="4" t="s">
        <v>94</v>
      </c>
      <c r="C16" s="5">
        <v>24760</v>
      </c>
      <c r="D16" s="6" t="s">
        <v>95</v>
      </c>
      <c r="E16" s="8"/>
      <c r="F16" s="8"/>
      <c r="G16" s="8"/>
      <c r="H16" s="8"/>
      <c r="I16" s="7">
        <v>2500</v>
      </c>
      <c r="J16" s="7">
        <v>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20" customHeight="1" x14ac:dyDescent="0.35">
      <c r="A17" s="3" t="s">
        <v>32</v>
      </c>
      <c r="B17" s="4" t="s">
        <v>96</v>
      </c>
      <c r="C17" s="5">
        <v>26820</v>
      </c>
      <c r="D17" s="6" t="s">
        <v>97</v>
      </c>
      <c r="E17" s="8"/>
      <c r="F17" s="8"/>
      <c r="G17" s="8"/>
      <c r="H17" s="8"/>
      <c r="I17" s="7">
        <v>2500</v>
      </c>
      <c r="J17" s="7">
        <v>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20" customHeight="1" x14ac:dyDescent="0.35">
      <c r="A18" s="3" t="s">
        <v>32</v>
      </c>
      <c r="B18" s="4" t="s">
        <v>98</v>
      </c>
      <c r="C18" s="5">
        <v>87170</v>
      </c>
      <c r="D18" s="6" t="s">
        <v>99</v>
      </c>
      <c r="E18" s="8"/>
      <c r="F18" s="8"/>
      <c r="G18" s="8"/>
      <c r="H18" s="8"/>
      <c r="I18" s="7">
        <v>2700</v>
      </c>
      <c r="J18" s="7">
        <v>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20" customHeight="1" x14ac:dyDescent="0.35">
      <c r="A19" s="3" t="s">
        <v>33</v>
      </c>
      <c r="B19" s="4" t="s">
        <v>88</v>
      </c>
      <c r="C19" s="5">
        <v>15280</v>
      </c>
      <c r="D19" s="6" t="s">
        <v>89</v>
      </c>
      <c r="E19" s="8" t="s">
        <v>30</v>
      </c>
      <c r="F19" s="8" t="s">
        <v>30</v>
      </c>
      <c r="G19" s="8" t="s">
        <v>30</v>
      </c>
      <c r="H19" s="8" t="s">
        <v>30</v>
      </c>
      <c r="I19" s="8" t="s">
        <v>30</v>
      </c>
      <c r="J19" s="8" t="s">
        <v>30</v>
      </c>
      <c r="K19" s="7">
        <v>2</v>
      </c>
      <c r="L19" s="7">
        <v>200</v>
      </c>
      <c r="M19" s="8" t="s">
        <v>30</v>
      </c>
      <c r="N19" s="8" t="s">
        <v>30</v>
      </c>
      <c r="O19" s="8" t="s">
        <v>30</v>
      </c>
      <c r="P19" s="8" t="s">
        <v>30</v>
      </c>
      <c r="Q19" s="8" t="s">
        <v>30</v>
      </c>
      <c r="R19" s="8" t="s">
        <v>30</v>
      </c>
      <c r="S19" s="8" t="s">
        <v>30</v>
      </c>
      <c r="T19" s="8" t="s">
        <v>30</v>
      </c>
      <c r="U19" s="8" t="s">
        <v>30</v>
      </c>
      <c r="V19" s="8" t="s">
        <v>30</v>
      </c>
    </row>
    <row r="20" spans="1:22" ht="20" customHeight="1" x14ac:dyDescent="0.35">
      <c r="A20" s="3" t="s">
        <v>33</v>
      </c>
      <c r="B20" s="4" t="s">
        <v>90</v>
      </c>
      <c r="C20" s="5">
        <v>31730</v>
      </c>
      <c r="D20" s="6" t="s">
        <v>91</v>
      </c>
      <c r="E20" s="8"/>
      <c r="F20" s="8"/>
      <c r="G20" s="8"/>
      <c r="H20" s="8"/>
      <c r="I20" s="8"/>
      <c r="J20" s="8"/>
      <c r="K20" s="7">
        <v>2</v>
      </c>
      <c r="L20" s="7">
        <v>400</v>
      </c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ht="20" customHeight="1" x14ac:dyDescent="0.35">
      <c r="A21" s="3" t="s">
        <v>34</v>
      </c>
      <c r="B21" s="4" t="s">
        <v>124</v>
      </c>
      <c r="C21" s="5">
        <v>12550</v>
      </c>
      <c r="D21" s="6" t="s">
        <v>125</v>
      </c>
      <c r="E21" s="8" t="s">
        <v>30</v>
      </c>
      <c r="F21" s="8" t="s">
        <v>30</v>
      </c>
      <c r="G21" s="8" t="s">
        <v>30</v>
      </c>
      <c r="H21" s="8" t="s">
        <v>30</v>
      </c>
      <c r="I21" s="8" t="s">
        <v>30</v>
      </c>
      <c r="J21" s="8" t="s">
        <v>30</v>
      </c>
      <c r="K21" s="8" t="s">
        <v>30</v>
      </c>
      <c r="L21" s="8" t="s">
        <v>30</v>
      </c>
      <c r="M21" s="7">
        <v>1000</v>
      </c>
      <c r="N21" s="7" t="s">
        <v>130</v>
      </c>
      <c r="O21" s="8"/>
      <c r="P21" s="8" t="s">
        <v>30</v>
      </c>
      <c r="Q21" s="8" t="s">
        <v>30</v>
      </c>
      <c r="R21" s="8" t="s">
        <v>30</v>
      </c>
      <c r="S21" s="8" t="s">
        <v>30</v>
      </c>
      <c r="T21" s="8" t="s">
        <v>30</v>
      </c>
      <c r="U21" s="8" t="s">
        <v>30</v>
      </c>
      <c r="V21" s="8" t="s">
        <v>30</v>
      </c>
    </row>
    <row r="22" spans="1:22" ht="20" customHeight="1" x14ac:dyDescent="0.35">
      <c r="A22" s="3" t="s">
        <v>34</v>
      </c>
      <c r="B22" s="4" t="s">
        <v>126</v>
      </c>
      <c r="C22" s="5">
        <v>48570</v>
      </c>
      <c r="D22" s="6" t="s">
        <v>127</v>
      </c>
      <c r="E22" s="8"/>
      <c r="F22" s="8"/>
      <c r="G22" s="8"/>
      <c r="H22" s="8"/>
      <c r="I22" s="8"/>
      <c r="J22" s="8"/>
      <c r="K22" s="8"/>
      <c r="L22" s="8"/>
      <c r="M22" s="7">
        <f>350*24</f>
        <v>8400</v>
      </c>
      <c r="N22" s="7" t="s">
        <v>131</v>
      </c>
      <c r="O22" s="8"/>
      <c r="P22" s="8"/>
      <c r="Q22" s="8"/>
      <c r="R22" s="8"/>
      <c r="S22" s="8"/>
      <c r="T22" s="8"/>
      <c r="U22" s="8"/>
      <c r="V22" s="8"/>
    </row>
    <row r="23" spans="1:22" ht="20" customHeight="1" x14ac:dyDescent="0.35">
      <c r="A23" s="3" t="s">
        <v>34</v>
      </c>
      <c r="B23" s="4" t="s">
        <v>128</v>
      </c>
      <c r="C23" s="5">
        <v>75820</v>
      </c>
      <c r="D23" s="6" t="s">
        <v>129</v>
      </c>
      <c r="E23" s="8"/>
      <c r="F23" s="8"/>
      <c r="G23" s="8"/>
      <c r="H23" s="8"/>
      <c r="I23" s="8"/>
      <c r="J23" s="8"/>
      <c r="K23" s="8"/>
      <c r="L23" s="8"/>
      <c r="M23" s="7">
        <f>250*72</f>
        <v>18000</v>
      </c>
      <c r="N23" s="7" t="s">
        <v>132</v>
      </c>
      <c r="O23" s="8"/>
      <c r="P23" s="8"/>
      <c r="Q23" s="8"/>
      <c r="R23" s="8"/>
      <c r="S23" s="8"/>
      <c r="T23" s="8"/>
      <c r="U23" s="8"/>
      <c r="V23" s="8"/>
    </row>
    <row r="24" spans="1:22" ht="20" customHeight="1" x14ac:dyDescent="0.35">
      <c r="A24" s="3" t="s">
        <v>35</v>
      </c>
      <c r="B24" s="4" t="s">
        <v>133</v>
      </c>
      <c r="C24" s="5">
        <v>51780</v>
      </c>
      <c r="D24" s="6" t="s">
        <v>134</v>
      </c>
      <c r="E24" s="8" t="s">
        <v>30</v>
      </c>
      <c r="F24" s="8" t="s">
        <v>30</v>
      </c>
      <c r="G24" s="8" t="s">
        <v>30</v>
      </c>
      <c r="H24" s="8" t="s">
        <v>30</v>
      </c>
      <c r="I24" s="8" t="s">
        <v>30</v>
      </c>
      <c r="J24" s="8" t="s">
        <v>30</v>
      </c>
      <c r="K24" s="8" t="s">
        <v>30</v>
      </c>
      <c r="L24" s="8" t="s">
        <v>30</v>
      </c>
      <c r="M24" s="7">
        <v>100</v>
      </c>
      <c r="N24" s="8" t="s">
        <v>30</v>
      </c>
      <c r="O24" s="7">
        <v>3</v>
      </c>
      <c r="P24" s="8" t="s">
        <v>30</v>
      </c>
      <c r="Q24" s="8" t="s">
        <v>30</v>
      </c>
      <c r="R24" s="8" t="s">
        <v>30</v>
      </c>
      <c r="S24" s="8" t="s">
        <v>30</v>
      </c>
      <c r="T24" s="8" t="s">
        <v>30</v>
      </c>
      <c r="U24" s="8" t="s">
        <v>30</v>
      </c>
      <c r="V24" s="8" t="s">
        <v>30</v>
      </c>
    </row>
    <row r="25" spans="1:22" ht="20" customHeight="1" x14ac:dyDescent="0.35">
      <c r="A25" s="9" t="s">
        <v>36</v>
      </c>
      <c r="B25" s="4" t="s">
        <v>37</v>
      </c>
      <c r="C25" s="5">
        <v>4500</v>
      </c>
      <c r="D25" s="6"/>
      <c r="E25" s="8" t="s">
        <v>30</v>
      </c>
      <c r="F25" s="8" t="s">
        <v>30</v>
      </c>
      <c r="G25" s="8" t="s">
        <v>30</v>
      </c>
      <c r="H25" s="8" t="s">
        <v>30</v>
      </c>
      <c r="I25" s="8" t="s">
        <v>30</v>
      </c>
      <c r="J25" s="8" t="s">
        <v>30</v>
      </c>
      <c r="K25" s="8" t="s">
        <v>30</v>
      </c>
      <c r="L25" s="8" t="s">
        <v>30</v>
      </c>
      <c r="M25" s="8" t="s">
        <v>30</v>
      </c>
      <c r="N25" s="8" t="s">
        <v>30</v>
      </c>
      <c r="O25" s="8" t="s">
        <v>30</v>
      </c>
      <c r="P25" s="7">
        <v>5</v>
      </c>
      <c r="Q25" s="7">
        <v>19</v>
      </c>
      <c r="R25" s="7">
        <v>25</v>
      </c>
      <c r="S25" s="8" t="s">
        <v>30</v>
      </c>
      <c r="T25" s="8" t="s">
        <v>30</v>
      </c>
      <c r="U25" s="8" t="s">
        <v>30</v>
      </c>
      <c r="V25" s="8" t="s">
        <v>30</v>
      </c>
    </row>
    <row r="26" spans="1:22" ht="20" customHeight="1" x14ac:dyDescent="0.35">
      <c r="A26" s="9" t="s">
        <v>38</v>
      </c>
      <c r="B26" s="4" t="s">
        <v>39</v>
      </c>
      <c r="C26" s="5">
        <v>3200</v>
      </c>
      <c r="D26" s="6"/>
      <c r="E26" s="8" t="s">
        <v>30</v>
      </c>
      <c r="F26" s="8" t="s">
        <v>30</v>
      </c>
      <c r="G26" s="8" t="s">
        <v>30</v>
      </c>
      <c r="H26" s="8" t="s">
        <v>30</v>
      </c>
      <c r="I26" s="8" t="s">
        <v>30</v>
      </c>
      <c r="J26" s="8" t="s">
        <v>30</v>
      </c>
      <c r="K26" s="8" t="s">
        <v>30</v>
      </c>
      <c r="L26" s="8" t="s">
        <v>30</v>
      </c>
      <c r="M26" s="8" t="s">
        <v>30</v>
      </c>
      <c r="N26" s="8" t="s">
        <v>30</v>
      </c>
      <c r="O26" s="8" t="s">
        <v>30</v>
      </c>
      <c r="P26" s="7">
        <v>1</v>
      </c>
      <c r="Q26" s="7">
        <v>9</v>
      </c>
      <c r="R26" s="7">
        <v>20</v>
      </c>
      <c r="S26" s="8" t="s">
        <v>30</v>
      </c>
      <c r="T26" s="8" t="s">
        <v>30</v>
      </c>
      <c r="U26" s="8" t="s">
        <v>30</v>
      </c>
      <c r="V26" s="8" t="s">
        <v>30</v>
      </c>
    </row>
    <row r="27" spans="1:22" ht="20" customHeight="1" x14ac:dyDescent="0.35">
      <c r="A27" s="9" t="s">
        <v>40</v>
      </c>
      <c r="B27" s="4" t="s">
        <v>41</v>
      </c>
      <c r="C27" s="5">
        <v>2100</v>
      </c>
      <c r="D27" s="6"/>
      <c r="E27" s="8" t="s">
        <v>30</v>
      </c>
      <c r="F27" s="8" t="s">
        <v>30</v>
      </c>
      <c r="G27" s="8" t="s">
        <v>30</v>
      </c>
      <c r="H27" s="8" t="s">
        <v>30</v>
      </c>
      <c r="I27" s="8" t="s">
        <v>30</v>
      </c>
      <c r="J27" s="8" t="s">
        <v>30</v>
      </c>
      <c r="K27" s="8" t="s">
        <v>30</v>
      </c>
      <c r="L27" s="8" t="s">
        <v>30</v>
      </c>
      <c r="M27" s="8" t="s">
        <v>30</v>
      </c>
      <c r="N27" s="8" t="s">
        <v>30</v>
      </c>
      <c r="O27" s="8" t="s">
        <v>30</v>
      </c>
      <c r="P27" s="7">
        <v>5</v>
      </c>
      <c r="Q27" s="8" t="s">
        <v>30</v>
      </c>
      <c r="R27" s="8" t="s">
        <v>30</v>
      </c>
      <c r="S27" s="7">
        <v>25</v>
      </c>
      <c r="T27" s="8" t="s">
        <v>30</v>
      </c>
      <c r="U27" s="8" t="s">
        <v>30</v>
      </c>
      <c r="V27" s="8" t="s">
        <v>30</v>
      </c>
    </row>
    <row r="28" spans="1:22" ht="20" customHeight="1" x14ac:dyDescent="0.35">
      <c r="A28" s="9" t="s">
        <v>42</v>
      </c>
      <c r="B28" s="4" t="s">
        <v>43</v>
      </c>
      <c r="C28" s="5">
        <v>3500</v>
      </c>
      <c r="D28" s="6"/>
      <c r="E28" s="8" t="s">
        <v>30</v>
      </c>
      <c r="F28" s="8" t="s">
        <v>30</v>
      </c>
      <c r="G28" s="8" t="s">
        <v>30</v>
      </c>
      <c r="H28" s="8" t="s">
        <v>30</v>
      </c>
      <c r="I28" s="8" t="s">
        <v>30</v>
      </c>
      <c r="J28" s="8" t="s">
        <v>30</v>
      </c>
      <c r="K28" s="8" t="s">
        <v>30</v>
      </c>
      <c r="L28" s="8" t="s">
        <v>30</v>
      </c>
      <c r="M28" s="8" t="s">
        <v>30</v>
      </c>
      <c r="N28" s="8" t="s">
        <v>30</v>
      </c>
      <c r="O28" s="8" t="s">
        <v>30</v>
      </c>
      <c r="P28" s="7">
        <v>5</v>
      </c>
      <c r="Q28" s="8" t="s">
        <v>30</v>
      </c>
      <c r="R28" s="8" t="s">
        <v>30</v>
      </c>
      <c r="S28" s="7">
        <v>2</v>
      </c>
      <c r="T28" s="8" t="s">
        <v>30</v>
      </c>
      <c r="U28" s="8" t="s">
        <v>30</v>
      </c>
      <c r="V28" s="8" t="s">
        <v>30</v>
      </c>
    </row>
    <row r="29" spans="1:22" ht="20" customHeight="1" x14ac:dyDescent="0.35">
      <c r="A29" s="10" t="s">
        <v>44</v>
      </c>
      <c r="B29" s="4" t="s">
        <v>45</v>
      </c>
      <c r="C29" s="5">
        <v>850</v>
      </c>
      <c r="D29" s="6"/>
      <c r="E29" s="8" t="s">
        <v>30</v>
      </c>
      <c r="F29" s="8" t="s">
        <v>30</v>
      </c>
      <c r="G29" s="8" t="s">
        <v>30</v>
      </c>
      <c r="H29" s="8" t="s">
        <v>30</v>
      </c>
      <c r="I29" s="8" t="s">
        <v>30</v>
      </c>
      <c r="J29" s="8" t="s">
        <v>30</v>
      </c>
      <c r="K29" s="8" t="s">
        <v>30</v>
      </c>
      <c r="L29" s="8" t="s">
        <v>30</v>
      </c>
      <c r="M29" s="8" t="s">
        <v>30</v>
      </c>
      <c r="N29" s="8" t="s">
        <v>30</v>
      </c>
      <c r="O29" s="8" t="s">
        <v>30</v>
      </c>
      <c r="P29" s="8" t="s">
        <v>30</v>
      </c>
      <c r="Q29" s="8" t="s">
        <v>30</v>
      </c>
      <c r="R29" s="8" t="s">
        <v>30</v>
      </c>
      <c r="S29" s="8" t="s">
        <v>30</v>
      </c>
      <c r="T29" s="7">
        <v>80</v>
      </c>
      <c r="U29" s="7">
        <v>1</v>
      </c>
      <c r="V29" s="8" t="s">
        <v>30</v>
      </c>
    </row>
    <row r="30" spans="1:22" ht="20" customHeight="1" x14ac:dyDescent="0.35">
      <c r="A30" s="10" t="s">
        <v>46</v>
      </c>
      <c r="B30" s="4" t="s">
        <v>47</v>
      </c>
      <c r="C30" s="5">
        <v>320</v>
      </c>
      <c r="D30" s="6"/>
      <c r="E30" s="8" t="s">
        <v>30</v>
      </c>
      <c r="F30" s="8" t="s">
        <v>30</v>
      </c>
      <c r="G30" s="8" t="s">
        <v>30</v>
      </c>
      <c r="H30" s="8" t="s">
        <v>30</v>
      </c>
      <c r="I30" s="8" t="s">
        <v>30</v>
      </c>
      <c r="J30" s="8" t="s">
        <v>30</v>
      </c>
      <c r="K30" s="8" t="s">
        <v>30</v>
      </c>
      <c r="L30" s="8" t="s">
        <v>30</v>
      </c>
      <c r="M30" s="8" t="s">
        <v>30</v>
      </c>
      <c r="N30" s="8" t="s">
        <v>30</v>
      </c>
      <c r="O30" s="8" t="s">
        <v>30</v>
      </c>
      <c r="P30" s="8" t="s">
        <v>30</v>
      </c>
      <c r="Q30" s="8" t="s">
        <v>30</v>
      </c>
      <c r="R30" s="8" t="s">
        <v>30</v>
      </c>
      <c r="S30" s="8" t="s">
        <v>30</v>
      </c>
      <c r="T30" s="7">
        <v>50</v>
      </c>
      <c r="U30" s="7">
        <v>3</v>
      </c>
      <c r="V30" s="8" t="s">
        <v>30</v>
      </c>
    </row>
    <row r="31" spans="1:22" ht="20" customHeight="1" x14ac:dyDescent="0.35">
      <c r="A31" s="10" t="s">
        <v>48</v>
      </c>
      <c r="B31" s="4" t="s">
        <v>49</v>
      </c>
      <c r="C31" s="5">
        <v>180</v>
      </c>
      <c r="D31" s="6"/>
      <c r="E31" s="8" t="s">
        <v>30</v>
      </c>
      <c r="F31" s="8" t="s">
        <v>30</v>
      </c>
      <c r="G31" s="8" t="s">
        <v>30</v>
      </c>
      <c r="H31" s="8" t="s">
        <v>30</v>
      </c>
      <c r="I31" s="8" t="s">
        <v>30</v>
      </c>
      <c r="J31" s="8" t="s">
        <v>30</v>
      </c>
      <c r="K31" s="8" t="s">
        <v>30</v>
      </c>
      <c r="L31" s="8" t="s">
        <v>30</v>
      </c>
      <c r="M31" s="8" t="s">
        <v>30</v>
      </c>
      <c r="N31" s="8" t="s">
        <v>30</v>
      </c>
      <c r="O31" s="8" t="s">
        <v>30</v>
      </c>
      <c r="P31" s="8" t="s">
        <v>30</v>
      </c>
      <c r="Q31" s="8" t="s">
        <v>30</v>
      </c>
      <c r="R31" s="8" t="s">
        <v>30</v>
      </c>
      <c r="S31" s="8" t="s">
        <v>30</v>
      </c>
      <c r="T31" s="8" t="s">
        <v>30</v>
      </c>
      <c r="U31" s="8" t="s">
        <v>30</v>
      </c>
      <c r="V31" s="7">
        <v>30</v>
      </c>
    </row>
    <row r="32" spans="1:22" ht="20" customHeight="1" x14ac:dyDescent="0.35">
      <c r="A32" s="10" t="s">
        <v>50</v>
      </c>
      <c r="B32" s="4" t="s">
        <v>51</v>
      </c>
      <c r="C32" s="5">
        <v>450</v>
      </c>
      <c r="D32" s="6"/>
      <c r="E32" s="8" t="s">
        <v>30</v>
      </c>
      <c r="F32" s="8" t="s">
        <v>30</v>
      </c>
      <c r="G32" s="8" t="s">
        <v>30</v>
      </c>
      <c r="H32" s="8" t="s">
        <v>30</v>
      </c>
      <c r="I32" s="8" t="s">
        <v>30</v>
      </c>
      <c r="J32" s="8" t="s">
        <v>30</v>
      </c>
      <c r="K32" s="8" t="s">
        <v>30</v>
      </c>
      <c r="L32" s="8" t="s">
        <v>30</v>
      </c>
      <c r="M32" s="7">
        <v>25</v>
      </c>
      <c r="N32" s="8" t="s">
        <v>30</v>
      </c>
      <c r="O32" s="8" t="s">
        <v>30</v>
      </c>
      <c r="P32" s="8" t="s">
        <v>30</v>
      </c>
      <c r="Q32" s="8" t="s">
        <v>30</v>
      </c>
      <c r="R32" s="8" t="s">
        <v>30</v>
      </c>
      <c r="S32" s="8" t="s">
        <v>30</v>
      </c>
      <c r="T32" s="8" t="s">
        <v>30</v>
      </c>
      <c r="U32" s="7">
        <v>5</v>
      </c>
      <c r="V32" s="8" t="s">
        <v>30</v>
      </c>
    </row>
    <row r="34" spans="1:22" ht="44" customHeight="1" x14ac:dyDescent="0.35">
      <c r="A34" s="16" t="s">
        <v>52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</sheetData>
  <mergeCells count="8">
    <mergeCell ref="A34:V34"/>
    <mergeCell ref="E1:H1"/>
    <mergeCell ref="P1:S1"/>
    <mergeCell ref="I1:J1"/>
    <mergeCell ref="K1:L1"/>
    <mergeCell ref="T1:U1"/>
    <mergeCell ref="M1:O1"/>
    <mergeCell ref="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showGridLines="0" workbookViewId="0"/>
  </sheetViews>
  <sheetFormatPr baseColWidth="10" defaultColWidth="8.7265625" defaultRowHeight="14.5" x14ac:dyDescent="0.35"/>
  <cols>
    <col min="1" max="1" width="28" customWidth="1"/>
    <col min="2" max="2" width="72" customWidth="1"/>
  </cols>
  <sheetData>
    <row r="1" spans="1:2" ht="32" customHeight="1" x14ac:dyDescent="0.35">
      <c r="A1" s="21" t="s">
        <v>53</v>
      </c>
      <c r="B1" s="17"/>
    </row>
    <row r="3" spans="1:2" ht="22" customHeight="1" x14ac:dyDescent="0.35">
      <c r="A3" s="11"/>
      <c r="B3" s="12"/>
    </row>
    <row r="4" spans="1:2" ht="48" customHeight="1" x14ac:dyDescent="0.35">
      <c r="A4" s="11" t="s">
        <v>54</v>
      </c>
      <c r="B4" s="13" t="s">
        <v>55</v>
      </c>
    </row>
    <row r="5" spans="1:2" ht="22" customHeight="1" x14ac:dyDescent="0.35">
      <c r="A5" s="11"/>
      <c r="B5" s="12"/>
    </row>
    <row r="6" spans="1:2" ht="48" customHeight="1" x14ac:dyDescent="0.35">
      <c r="A6" s="14" t="s">
        <v>56</v>
      </c>
      <c r="B6" s="13" t="s">
        <v>57</v>
      </c>
    </row>
    <row r="7" spans="1:2" ht="48" customHeight="1" x14ac:dyDescent="0.35">
      <c r="A7" s="14" t="s">
        <v>58</v>
      </c>
      <c r="B7" s="13" t="s">
        <v>59</v>
      </c>
    </row>
    <row r="8" spans="1:2" ht="22" customHeight="1" x14ac:dyDescent="0.35">
      <c r="A8" s="14" t="s">
        <v>60</v>
      </c>
      <c r="B8" s="13" t="s">
        <v>61</v>
      </c>
    </row>
    <row r="9" spans="1:2" ht="48" customHeight="1" x14ac:dyDescent="0.35">
      <c r="A9" s="14" t="s">
        <v>62</v>
      </c>
      <c r="B9" s="13" t="s">
        <v>63</v>
      </c>
    </row>
    <row r="10" spans="1:2" ht="48" customHeight="1" x14ac:dyDescent="0.35">
      <c r="A10" s="14" t="s">
        <v>64</v>
      </c>
      <c r="B10" s="13" t="s">
        <v>65</v>
      </c>
    </row>
    <row r="11" spans="1:2" ht="48" customHeight="1" x14ac:dyDescent="0.35">
      <c r="A11" s="14" t="s">
        <v>66</v>
      </c>
      <c r="B11" s="13" t="s">
        <v>67</v>
      </c>
    </row>
    <row r="12" spans="1:2" ht="22" customHeight="1" x14ac:dyDescent="0.35">
      <c r="A12" s="11"/>
      <c r="B12" s="12"/>
    </row>
    <row r="13" spans="1:2" ht="22" customHeight="1" x14ac:dyDescent="0.35">
      <c r="A13" s="15" t="s">
        <v>68</v>
      </c>
      <c r="B13" s="12"/>
    </row>
    <row r="14" spans="1:2" ht="48" customHeight="1" x14ac:dyDescent="0.35">
      <c r="A14" s="11" t="s">
        <v>69</v>
      </c>
      <c r="B14" s="13" t="s">
        <v>70</v>
      </c>
    </row>
    <row r="15" spans="1:2" ht="48" customHeight="1" x14ac:dyDescent="0.35">
      <c r="A15" s="11" t="s">
        <v>31</v>
      </c>
      <c r="B15" s="13" t="s">
        <v>71</v>
      </c>
    </row>
    <row r="16" spans="1:2" ht="22" customHeight="1" x14ac:dyDescent="0.35">
      <c r="A16" s="11" t="s">
        <v>32</v>
      </c>
      <c r="B16" s="13" t="s">
        <v>72</v>
      </c>
    </row>
    <row r="17" spans="1:2" ht="22" customHeight="1" x14ac:dyDescent="0.35">
      <c r="A17" s="11" t="s">
        <v>33</v>
      </c>
      <c r="B17" s="13" t="s">
        <v>73</v>
      </c>
    </row>
    <row r="18" spans="1:2" ht="22" customHeight="1" x14ac:dyDescent="0.35">
      <c r="A18" s="11" t="s">
        <v>34</v>
      </c>
      <c r="B18" s="13" t="s">
        <v>74</v>
      </c>
    </row>
    <row r="19" spans="1:2" ht="22" customHeight="1" x14ac:dyDescent="0.35">
      <c r="A19" s="11" t="s">
        <v>75</v>
      </c>
      <c r="B19" s="13" t="s">
        <v>76</v>
      </c>
    </row>
    <row r="20" spans="1:2" ht="48" customHeight="1" x14ac:dyDescent="0.35">
      <c r="A20" s="11" t="s">
        <v>36</v>
      </c>
      <c r="B20" s="13" t="s">
        <v>77</v>
      </c>
    </row>
    <row r="21" spans="1:2" ht="48" customHeight="1" x14ac:dyDescent="0.35">
      <c r="A21" s="11" t="s">
        <v>38</v>
      </c>
      <c r="B21" s="13" t="s">
        <v>78</v>
      </c>
    </row>
    <row r="22" spans="1:2" ht="22" customHeight="1" x14ac:dyDescent="0.35">
      <c r="A22" s="11" t="s">
        <v>40</v>
      </c>
      <c r="B22" s="13" t="s">
        <v>79</v>
      </c>
    </row>
    <row r="23" spans="1:2" ht="22" customHeight="1" x14ac:dyDescent="0.35">
      <c r="A23" s="11" t="s">
        <v>80</v>
      </c>
      <c r="B23" s="13" t="s">
        <v>81</v>
      </c>
    </row>
    <row r="24" spans="1:2" ht="22" customHeight="1" x14ac:dyDescent="0.35">
      <c r="A24" s="11" t="s">
        <v>44</v>
      </c>
      <c r="B24" s="13" t="s">
        <v>82</v>
      </c>
    </row>
    <row r="25" spans="1:2" ht="22" customHeight="1" x14ac:dyDescent="0.35">
      <c r="A25" s="11" t="s">
        <v>83</v>
      </c>
      <c r="B25" s="13" t="s">
        <v>82</v>
      </c>
    </row>
    <row r="26" spans="1:2" ht="22" customHeight="1" x14ac:dyDescent="0.35">
      <c r="A26" s="11" t="s">
        <v>48</v>
      </c>
      <c r="B26" s="13" t="s">
        <v>84</v>
      </c>
    </row>
    <row r="27" spans="1:2" ht="22" customHeight="1" x14ac:dyDescent="0.35">
      <c r="A27" s="11" t="s">
        <v>50</v>
      </c>
      <c r="B27" s="13" t="s">
        <v>85</v>
      </c>
    </row>
    <row r="28" spans="1:2" ht="22" customHeight="1" x14ac:dyDescent="0.35">
      <c r="A28" s="11"/>
      <c r="B28" s="12"/>
    </row>
    <row r="29" spans="1:2" ht="48" customHeight="1" x14ac:dyDescent="0.35">
      <c r="A29" s="11" t="s">
        <v>86</v>
      </c>
      <c r="B29" s="13" t="s">
        <v>87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Mis Productos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Fernandez</cp:lastModifiedBy>
  <dcterms:created xsi:type="dcterms:W3CDTF">2026-04-19T23:47:18Z</dcterms:created>
  <dcterms:modified xsi:type="dcterms:W3CDTF">2026-04-20T00:12:09Z</dcterms:modified>
</cp:coreProperties>
</file>